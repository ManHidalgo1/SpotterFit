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4AA6A756-9842-40EF-A82A-8741163D7C1E}" xr6:coauthVersionLast="47" xr6:coauthVersionMax="47" xr10:uidLastSave="{00000000-0000-0000-0000-000000000000}"/>
  <bookViews>
    <workbookView xWindow="-120" yWindow="-120" windowWidth="29040" windowHeight="158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<sst xmlns="http://schemas.openxmlformats.org/spreadsheetml/2006/main" count="158" uniqueCount="99">
  <si>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</si>
  <si>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</si>
  <si>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</si>
  <si>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</si>
  <si>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</si>
  <si>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</si>
  <si>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</si>
  <si>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</si>
  <si>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</si>
  <si>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</si>
  <si>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</si>
  <si>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</si>
  <si>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</si>
  <si>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</si>
  <si>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</si>
  <si>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</si>
  <si>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</si>
  <si>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</si>
  <si>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</si>
  <si>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</si>
  <si>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</si>
  <si>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</si>
  <si>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</si>
  <si>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</si>
  <si>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</si>
  <si>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</si>
  <si>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</si>
  <si>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</si>
  <si>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</si>
  <si>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</si>
  <si>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</si>
  <si>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</si>
  <si>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</si>
  <si>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</si>
  <si>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</si>
  <si>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</si>
  <si>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</si>
  <si>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</si>
  <si>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</si>
  <si>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</si>
  <si>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</si>
  <si>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</si>
  <si>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</si>
  <si>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</si>
  <si>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</si>
  <si>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</si>
  <si>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</si>
  <si>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</si>
  <si>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</si>
  <si>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</si>
  <si>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</si>
  <si>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</si>
  <si>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</si>
  <si>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</si>
  <si>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</si>
  <si>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</si>
  <si>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</si>
  <si>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</si>
  <si>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</si>
  <si>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</si>
  <si>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</si>
  <si>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</si>
  <si>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</si>
  <si>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</si>
  <si>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</si>
  <si>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</si>
  <si>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</si>
  <si>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</si>
  <si>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</si>
  <si>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</si>
  <si>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</si>
  <si>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</si>
  <si>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</si>
  <si>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</si>
  <si>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</si>
  <si>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</si>
  <si>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</si>
  <si>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</si>
  <si>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</si>
  <si>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</si>
  <si>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</si>
  <si>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</si>
  <si>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</si>
  <si>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</si>
  <si>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</si>
  <si>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</si>
  <si>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</si>
  <si>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</si>
  <si>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</si>
  <si>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</si>
  <si>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</si>
  <si>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</si>
  <si>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</si>
  <si>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</si>
  <si>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</si>
  <si>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Jose Quintero</t>
  </si>
  <si>
    <t>Luis Gomez</t>
  </si>
  <si>
    <t>Manuel Hidalgo</t>
  </si>
  <si>
    <t>Mejorar el Alcance y la arquitectura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</si>
</sst>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55" zoomScale="120" zoomScaleNormal="120" workbookViewId="0">
      <selection activeCell="B62" sqref="B62"/>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4">
        <v>1</v>
      </c>
    </row>
    <row r="3" spans="1:11" x14ac:dyDescent="0.25">
      <c r="B3" s="3" t="s">
        <v>0</v>
      </c>
      <c r="C3" s="4" t="s">
        <v>1</v>
      </c>
      <c r="D3" s="2" t="s">
        <v>2</v>
      </c>
      <c r="E3" s="51"/>
    </row>
    <row r="4" spans="1:11" x14ac:dyDescent="0.25">
      <c r="A4" s="5">
        <v>1</v>
      </c>
      <c r="B4" s="32" t="s">
        <v>95</v>
      </c>
      <c r="C4" s="6">
        <f>EVALUACION1!$C$24</f>
        <v>6.1</v>
      </c>
      <c r="D4" s="6">
        <f>$C$35</f>
        <v>7</v>
      </c>
      <c r="E4" s="43">
        <f>C4*C$2+D4*D$2</f>
        <v>6.3249999999999993</v>
      </c>
      <c r="G4" s="1"/>
    </row>
    <row r="5" spans="1:11" x14ac:dyDescent="0.25">
      <c r="A5" s="5">
        <v>2</v>
      </c>
      <c r="B5" s="32" t="s">
        <v>96</v>
      </c>
      <c r="C5" s="6">
        <f>EVALUACION1!$C$24</f>
        <v>6.1</v>
      </c>
      <c r="D5" s="6">
        <f>C47</f>
        <v>7</v>
      </c>
      <c r="E5" s="43">
        <f t="shared" ref="E5:E6" si="0">C5*C$2+D5*D$2</f>
        <v>6.3249999999999993</v>
      </c>
      <c r="G5" s="1"/>
    </row>
    <row r="6" spans="1:11" x14ac:dyDescent="0.25">
      <c r="A6" s="5">
        <v>3</v>
      </c>
      <c r="B6" s="32" t="s">
        <v>97</v>
      </c>
      <c r="C6" s="6">
        <f>EVALUACION1!$C$24</f>
        <v>6.1</v>
      </c>
      <c r="D6" s="6">
        <f>C58</f>
        <v>7</v>
      </c>
      <c r="E6" s="43">
        <f t="shared" si="0"/>
        <v>6.3249999999999993</v>
      </c>
      <c r="G6" s="1"/>
    </row>
    <row r="11" spans="1:11" ht="18.75" outlineLevel="1" x14ac:dyDescent="0.25">
      <c r="A11" s="65" t="s">
        <v>3</v>
      </c>
      <c r="B11" s="14"/>
      <c r="C11" s="52" t="s">
        <v>4</v>
      </c>
      <c r="D11" s="59" t="s">
        <v>5</v>
      </c>
      <c r="E11" s="63"/>
      <c r="F11" s="63"/>
      <c r="G11" s="63"/>
      <c r="H11" s="63"/>
      <c r="I11" s="63"/>
      <c r="J11" s="63"/>
      <c r="K11" s="60"/>
    </row>
    <row r="12" spans="1:11" outlineLevel="1" x14ac:dyDescent="0.25">
      <c r="A12" s="62"/>
      <c r="B12" s="24" t="s">
        <v>6</v>
      </c>
      <c r="C12" s="51"/>
      <c r="D12" s="59" t="s">
        <v>7</v>
      </c>
      <c r="E12" s="60"/>
      <c r="F12" s="59" t="s">
        <v>8</v>
      </c>
      <c r="G12" s="60"/>
      <c r="H12" s="59" t="s">
        <v>9</v>
      </c>
      <c r="I12" s="60"/>
      <c r="J12" s="59" t="s">
        <v>10</v>
      </c>
      <c r="K12" s="60"/>
    </row>
    <row r="13" spans="1:11" ht="24" outlineLevel="1" x14ac:dyDescent="0.25">
      <c r="A13" s="66"/>
      <c r="B13" s="35" t="str">
        <f>RUBRICA!A5</f>
        <v>1. Describe brevemente en qué consiste el Proyecto APT, justificando su relevancia para el campo laboral de su carrera.</v>
      </c>
      <c r="C13" s="33" t="s">
        <v>8</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26.45" customHeight="1" outlineLevel="1" x14ac:dyDescent="0.25">
      <c r="A14" s="66"/>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6"/>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6"/>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6"/>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6"/>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x14ac:dyDescent="0.25">
      <c r="A19" s="66"/>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6"/>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1" customHeight="1" outlineLevel="1" x14ac:dyDescent="0.25">
      <c r="A21" s="66"/>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6"/>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1"/>
      <c r="B24" s="36" t="s">
        <v>12</v>
      </c>
      <c r="C24" s="20">
        <f>VLOOKUP(C23,ESCALA_IEP!A2:B142,2,FALSE)</f>
        <v>6.1</v>
      </c>
    </row>
    <row r="25" spans="1:11" ht="15.75" customHeight="1" x14ac:dyDescent="0.25"/>
    <row r="26" spans="1:11" ht="15.75" customHeight="1" x14ac:dyDescent="0.25"/>
    <row r="27" spans="1:11" ht="15.75" customHeight="1" x14ac:dyDescent="0.25">
      <c r="A27" s="61" t="s">
        <v>13</v>
      </c>
      <c r="B27" s="50" t="s">
        <v>14</v>
      </c>
      <c r="C27" s="53" t="str">
        <f>$B$4</f>
        <v>Jose Quintero</v>
      </c>
      <c r="D27" s="54"/>
      <c r="E27" s="54"/>
      <c r="F27" s="54"/>
      <c r="G27" s="54"/>
      <c r="H27" s="54"/>
      <c r="I27" s="54"/>
      <c r="J27" s="54"/>
      <c r="K27" s="55"/>
    </row>
    <row r="28" spans="1:11" ht="15.75" customHeight="1" x14ac:dyDescent="0.25">
      <c r="A28" s="62"/>
      <c r="B28" s="51"/>
      <c r="C28" s="56"/>
      <c r="D28" s="57"/>
      <c r="E28" s="57"/>
      <c r="F28" s="57"/>
      <c r="G28" s="57"/>
      <c r="H28" s="57"/>
      <c r="I28" s="57"/>
      <c r="J28" s="57"/>
      <c r="K28" s="58"/>
    </row>
    <row r="29" spans="1:11" ht="15.75" customHeight="1" x14ac:dyDescent="0.25">
      <c r="A29" s="62"/>
      <c r="B29" s="14" t="s">
        <v>15</v>
      </c>
      <c r="C29" s="52" t="s">
        <v>4</v>
      </c>
      <c r="D29" s="59" t="s">
        <v>5</v>
      </c>
      <c r="E29" s="63"/>
      <c r="F29" s="63"/>
      <c r="G29" s="63"/>
      <c r="H29" s="63"/>
      <c r="I29" s="63"/>
      <c r="J29" s="63"/>
      <c r="K29" s="60"/>
    </row>
    <row r="30" spans="1:11" ht="15.75" customHeight="1" x14ac:dyDescent="0.25">
      <c r="A30" s="62"/>
      <c r="B30" s="15" t="s">
        <v>6</v>
      </c>
      <c r="C30" s="51"/>
      <c r="D30" s="59" t="s">
        <v>7</v>
      </c>
      <c r="E30" s="60"/>
      <c r="F30" s="59" t="s">
        <v>8</v>
      </c>
      <c r="G30" s="60"/>
      <c r="H30" s="59" t="s">
        <v>16</v>
      </c>
      <c r="I30" s="60"/>
      <c r="J30" s="59"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1"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1"/>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50" t="s">
        <v>14</v>
      </c>
      <c r="C39" s="53" t="str">
        <f>B5</f>
        <v>Luis Gomez</v>
      </c>
      <c r="D39" s="54"/>
      <c r="E39" s="54"/>
      <c r="F39" s="54"/>
      <c r="G39" s="54"/>
      <c r="H39" s="54"/>
      <c r="I39" s="54"/>
      <c r="J39" s="54"/>
      <c r="K39" s="55"/>
    </row>
    <row r="40" spans="1:11" ht="15.75" customHeight="1" x14ac:dyDescent="0.25">
      <c r="A40" s="62"/>
      <c r="B40" s="51"/>
      <c r="C40" s="56"/>
      <c r="D40" s="57"/>
      <c r="E40" s="57"/>
      <c r="F40" s="57"/>
      <c r="G40" s="57"/>
      <c r="H40" s="57"/>
      <c r="I40" s="57"/>
      <c r="J40" s="57"/>
      <c r="K40" s="58"/>
    </row>
    <row r="41" spans="1:11" ht="15.75" customHeight="1" x14ac:dyDescent="0.25">
      <c r="A41" s="62"/>
      <c r="B41" s="14" t="s">
        <v>15</v>
      </c>
      <c r="C41" s="52" t="s">
        <v>4</v>
      </c>
      <c r="D41" s="59" t="s">
        <v>5</v>
      </c>
      <c r="E41" s="63"/>
      <c r="F41" s="63"/>
      <c r="G41" s="63"/>
      <c r="H41" s="63"/>
      <c r="I41" s="63"/>
      <c r="J41" s="63"/>
      <c r="K41" s="60"/>
    </row>
    <row r="42" spans="1:11" ht="15.75" customHeight="1" x14ac:dyDescent="0.25">
      <c r="A42" s="62"/>
      <c r="B42" s="15" t="s">
        <v>6</v>
      </c>
      <c r="C42" s="51"/>
      <c r="D42" s="59" t="s">
        <v>7</v>
      </c>
      <c r="E42" s="60"/>
      <c r="F42" s="59" t="s">
        <v>8</v>
      </c>
      <c r="G42" s="60"/>
      <c r="H42" s="59" t="s">
        <v>16</v>
      </c>
      <c r="I42" s="60"/>
      <c r="J42" s="59" t="s">
        <v>10</v>
      </c>
      <c r="K42" s="60"/>
    </row>
    <row r="43" spans="1:11" ht="26.1"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1"/>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50" t="s">
        <v>14</v>
      </c>
      <c r="C50" s="53" t="str">
        <f>B6</f>
        <v>Manuel Hidalgo</v>
      </c>
      <c r="D50" s="54"/>
      <c r="E50" s="54"/>
      <c r="F50" s="54"/>
      <c r="G50" s="54"/>
      <c r="H50" s="54"/>
      <c r="I50" s="54"/>
      <c r="J50" s="54"/>
      <c r="K50" s="55"/>
    </row>
    <row r="51" spans="1:11" ht="15.75" customHeight="1" x14ac:dyDescent="0.25">
      <c r="A51" s="62"/>
      <c r="B51" s="51"/>
      <c r="C51" s="56"/>
      <c r="D51" s="57"/>
      <c r="E51" s="57"/>
      <c r="F51" s="57"/>
      <c r="G51" s="57"/>
      <c r="H51" s="57"/>
      <c r="I51" s="57"/>
      <c r="J51" s="57"/>
      <c r="K51" s="58"/>
    </row>
    <row r="52" spans="1:11" ht="15.75" customHeight="1" x14ac:dyDescent="0.25">
      <c r="A52" s="62"/>
      <c r="B52" s="14" t="s">
        <v>15</v>
      </c>
      <c r="C52" s="52" t="s">
        <v>4</v>
      </c>
      <c r="D52" s="59" t="s">
        <v>5</v>
      </c>
      <c r="E52" s="63"/>
      <c r="F52" s="63"/>
      <c r="G52" s="63"/>
      <c r="H52" s="63"/>
      <c r="I52" s="63"/>
      <c r="J52" s="63"/>
      <c r="K52" s="60"/>
    </row>
    <row r="53" spans="1:11" ht="15.75" customHeight="1" x14ac:dyDescent="0.25">
      <c r="A53" s="62"/>
      <c r="B53" s="15" t="s">
        <v>6</v>
      </c>
      <c r="C53" s="51"/>
      <c r="D53" s="59" t="s">
        <v>7</v>
      </c>
      <c r="E53" s="60"/>
      <c r="F53" s="59" t="s">
        <v>8</v>
      </c>
      <c r="G53" s="60"/>
      <c r="H53" s="59" t="s">
        <v>16</v>
      </c>
      <c r="I53" s="60"/>
      <c r="J53" s="59" t="s">
        <v>10</v>
      </c>
      <c r="K53" s="60"/>
    </row>
    <row r="54" spans="1:11" ht="26.1"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1"/>
      <c r="B58" s="17" t="s">
        <v>12</v>
      </c>
      <c r="C58" s="20">
        <f>VLOOKUP(C57,ESCALA_TRAB_EQUIP!A2:B62,2,FALSE)</f>
        <v>7</v>
      </c>
    </row>
    <row r="59" spans="1:11" ht="15.75" customHeight="1" x14ac:dyDescent="0.3">
      <c r="B59" s="22"/>
      <c r="C59" s="23"/>
    </row>
    <row r="60" spans="1:11" ht="15.75" customHeight="1" x14ac:dyDescent="0.25"/>
    <row r="61" spans="1:11" ht="15.75" customHeight="1" x14ac:dyDescent="0.25">
      <c r="B61" s="49" t="s">
        <v>98</v>
      </c>
    </row>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0" t="s">
        <v>18</v>
      </c>
      <c r="B2" s="73" t="s">
        <v>19</v>
      </c>
      <c r="C2" s="74"/>
      <c r="D2" s="74"/>
      <c r="E2" s="75"/>
      <c r="F2" s="70" t="s">
        <v>20</v>
      </c>
    </row>
    <row r="3" spans="1:6" x14ac:dyDescent="0.25">
      <c r="A3" s="71"/>
      <c r="B3" s="76" t="s">
        <v>21</v>
      </c>
      <c r="C3" s="76" t="s">
        <v>22</v>
      </c>
      <c r="D3" s="25" t="s">
        <v>23</v>
      </c>
      <c r="E3" s="27" t="s">
        <v>10</v>
      </c>
      <c r="F3" s="71"/>
    </row>
    <row r="4" spans="1:6" ht="57.6" customHeight="1" thickBot="1" x14ac:dyDescent="0.3">
      <c r="A4" s="72"/>
      <c r="B4" s="77"/>
      <c r="C4" s="77"/>
      <c r="D4" s="26">
        <v>-0.3</v>
      </c>
      <c r="E4" s="26">
        <v>0</v>
      </c>
      <c r="F4" s="72"/>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5.1"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3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8" t="s">
        <v>92</v>
      </c>
      <c r="B1" s="7" t="s">
        <v>11</v>
      </c>
      <c r="C1" s="8"/>
      <c r="D1" s="8"/>
      <c r="E1" s="9"/>
    </row>
    <row r="2" spans="1:5" ht="45.75" thickBot="1" x14ac:dyDescent="0.3">
      <c r="A2" s="79"/>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Manuel Hidalgo - Treck S.A.</cp:lastModifiedBy>
  <cp:revision/>
  <dcterms:created xsi:type="dcterms:W3CDTF">2023-08-07T04:08:01Z</dcterms:created>
  <dcterms:modified xsi:type="dcterms:W3CDTF">2026-06-04T18:28:32Z</dcterms:modified>
  <cp:category/>
  <cp:contentStatus/>
</cp:coreProperties>
</file>