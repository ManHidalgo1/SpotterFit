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1/Grupo 1/"/>
    </mc:Choice>
  </mc:AlternateContent>
  <xr:revisionPtr revIDLastSave="0" documentId="13_ncr:1_{1274CAA0-6D13-4749-90C4-4D4A740B5453}" xr6:coauthVersionLast="47" xr6:coauthVersionMax="47" xr10:uidLastSave="{00000000-0000-0000-0000-000000000000}"/>
  <bookViews>
    <workbookView xWindow="1800" yWindow="1700" windowWidth="27580" windowHeight="1658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<sst xmlns="http://schemas.openxmlformats.org/spreadsheetml/2006/main" count="97" uniqueCount="79">
  <si>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</si>
  <si>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</si>
  <si>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</si>
  <si>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</si>
  <si>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</si>
  <si>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</si>
  <si>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</si>
  <si>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</si>
  <si>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</si>
  <si>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</si>
  <si>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</si>
  <si>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</si>
  <si>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</si>
  <si>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</si>
  <si>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</si>
  <si>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</si>
  <si>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</si>
  <si>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</si>
  <si>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</si>
  <si>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</si>
  <si>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</si>
  <si>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</si>
  <si>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</si>
  <si>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</si>
  <si>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</si>
  <si>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</si>
  <si>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</si>
  <si>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</si>
  <si>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</si>
  <si>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</si>
  <si>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</si>
  <si>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</si>
  <si>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</si>
  <si>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</si>
  <si>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</si>
  <si>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</si>
  <si>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</si>
  <si>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</si>
  <si>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</si>
  <si>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</si>
  <si>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</si>
  <si>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</si>
  <si>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</si>
  <si>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</si>
  <si>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</si>
  <si>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</si>
  <si>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</si>
  <si>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</si>
  <si>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</si>
  <si>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</si>
  <si>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</si>
  <si>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</si>
  <si>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</si>
  <si>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</si>
  <si>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</si>
  <si>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</si>
  <si>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</si>
  <si>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</si>
  <si>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</si>
  <si>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</si>
  <si>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</si>
  <si>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</si>
  <si>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</si>
  <si>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Jose Quintero</t>
  </si>
  <si>
    <t>Luis Gomez</t>
  </si>
  <si>
    <t>Manuel Hidalgo</t>
  </si>
  <si>
    <t>Feedback Presentación (No Evaluada)</t>
  </si>
  <si>
    <t>Reléase plan no se explica desde las capas. No cuadran los sprint</t>
  </si>
  <si>
    <t>Bien el avance de la app</t>
  </si>
  <si>
    <t>Revisar los Roles de acuerdo a Scru,</t>
  </si>
  <si>
    <t>En los Obj. Espec cambiar nros por iconos</t>
  </si>
  <si>
    <t>Arq. Fantan iconos y explicar el uso de SQL Alchemy</t>
  </si>
  <si>
    <t>Dejar el Modelo de datos en 1 slide</t>
  </si>
  <si>
    <t>En el slide de tecnológias faltan las herramientas de gestión</t>
  </si>
  <si>
    <t>Sistema</t>
  </si>
  <si>
    <t>Evidencias</t>
  </si>
  <si>
    <t xml:space="preserve">En la Fase 1 falta la planilla de evaluación </t>
  </si>
  <si>
    <t>Faltan las evidencias de proyecto de la fase 2</t>
  </si>
  <si>
    <t>Falta la declaración de uso de la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</si>
</sst>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6" fillId="0" borderId="24" xfId="0" applyFont="1" applyBorder="1" applyAlignment="1">
      <alignment horizontal="justify" vertical="center" wrapText="1"/>
    </xf>
    <xf numFmtId="0" fontId="1" fillId="3" borderId="12" xfId="0" applyFont="1" applyFill="1" applyBorder="1" applyAlignment="1">
      <alignment vertical="center" wrapText="1"/>
    </xf>
    <xf numFmtId="0" fontId="14" fillId="0" borderId="0" xfId="0" applyFont="1"/>
    <xf numFmtId="0" fontId="14" fillId="0" borderId="0" xfId="0" applyFont="1" applyAlignment="1">
      <alignment horizontal="left" indent="1"/>
    </xf>
    <xf numFmtId="0" fontId="0" fillId="0" borderId="0" xfId="0" applyAlignment="1">
      <alignment horizontal="left" indent="1"/>
    </xf>
    <xf numFmtId="0" fontId="14" fillId="0" borderId="0" xfId="0" applyFont="1" applyAlignment="1">
      <alignment horizontal="left"/>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317500</xdr:colOff>
      <xdr:row>26</xdr:row>
      <xdr:rowOff>88900</xdr:rowOff>
    </xdr:from>
    <xdr:to>
      <xdr:col>12</xdr:col>
      <xdr:colOff>148356</xdr:colOff>
      <xdr:row>42</xdr:row>
      <xdr:rowOff>165100</xdr:rowOff>
    </xdr:to>
    <xdr:pic>
      <xdr:nvPicPr>
        <xdr:cNvPr id="2" name="Imagen 1">
          <a:extLst>
            <a:ext uri="{FF2B5EF4-FFF2-40B4-BE49-F238E27FC236}">
              <a16:creationId xmlns:a16="http://schemas.microsoft.com/office/drawing/2014/main" id="{88DE813E-2582-6C5E-5DC2-DE4A6EAD6300}"/>
            </a:ext>
          </a:extLst>
        </xdr:cNvPr>
        <xdr:cNvPicPr>
          <a:picLocks noChangeAspect="1"/>
        </xdr:cNvPicPr>
      </xdr:nvPicPr>
      <xdr:blipFill>
        <a:blip xmlns:r="http://schemas.openxmlformats.org/officeDocument/2006/relationships" r:embed="rId1"/>
        <a:stretch>
          <a:fillRect/>
        </a:stretch>
      </xdr:blipFill>
      <xdr:spPr>
        <a:xfrm>
          <a:off x="8763000" y="6565900"/>
          <a:ext cx="6257056" cy="3124200"/>
        </a:xfrm>
        <a:prstGeom prst="rect">
          <a:avLst/>
        </a:prstGeom>
      </xdr:spPr>
    </xdr:pic>
    <xdr:clientData/>
  </xdr:twoCellAnchor>
  <xdr:twoCellAnchor editAs="oneCell">
    <xdr:from>
      <xdr:col>4</xdr:col>
      <xdr:colOff>355600</xdr:colOff>
      <xdr:row>43</xdr:row>
      <xdr:rowOff>63500</xdr:rowOff>
    </xdr:from>
    <xdr:to>
      <xdr:col>8</xdr:col>
      <xdr:colOff>228600</xdr:colOff>
      <xdr:row>58</xdr:row>
      <xdr:rowOff>161592</xdr:rowOff>
    </xdr:to>
    <xdr:pic>
      <xdr:nvPicPr>
        <xdr:cNvPr id="3" name="Imagen 2">
          <a:extLst>
            <a:ext uri="{FF2B5EF4-FFF2-40B4-BE49-F238E27FC236}">
              <a16:creationId xmlns:a16="http://schemas.microsoft.com/office/drawing/2014/main" id="{35EDE004-948F-0AB2-2009-13AB1E574E73}"/>
            </a:ext>
          </a:extLst>
        </xdr:cNvPr>
        <xdr:cNvPicPr>
          <a:picLocks noChangeAspect="1"/>
        </xdr:cNvPicPr>
      </xdr:nvPicPr>
      <xdr:blipFill>
        <a:blip xmlns:r="http://schemas.openxmlformats.org/officeDocument/2006/relationships" r:embed="rId2"/>
        <a:stretch>
          <a:fillRect/>
        </a:stretch>
      </xdr:blipFill>
      <xdr:spPr>
        <a:xfrm>
          <a:off x="8801100" y="9779000"/>
          <a:ext cx="3124200" cy="2955592"/>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9" zoomScaleNormal="100" workbookViewId="0">
      <selection activeCell="B40" sqref="B40"/>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0</v>
      </c>
      <c r="C3" s="30" t="s">
        <v>1</v>
      </c>
    </row>
    <row r="4" spans="1:11" x14ac:dyDescent="0.2">
      <c r="A4" s="4">
        <v>1</v>
      </c>
      <c r="B4" s="22" t="s">
        <v>63</v>
      </c>
      <c r="C4" s="5">
        <f>EVALUACION2!$C$22</f>
        <v>5.8</v>
      </c>
      <c r="G4" s="1"/>
    </row>
    <row r="5" spans="1:11" x14ac:dyDescent="0.2">
      <c r="A5" s="4">
        <v>2</v>
      </c>
      <c r="B5" s="22" t="s">
        <v>64</v>
      </c>
      <c r="C5" s="5">
        <f>EVALUACION2!$C$22</f>
        <v>5.8</v>
      </c>
      <c r="G5" s="1"/>
    </row>
    <row r="6" spans="1:11" x14ac:dyDescent="0.2">
      <c r="A6" s="4">
        <v>3</v>
      </c>
      <c r="B6" s="22" t="s">
        <v>65</v>
      </c>
      <c r="C6" s="5">
        <f>EVALUACION2!$C$22</f>
        <v>5.8</v>
      </c>
      <c r="G6" s="1"/>
    </row>
    <row r="11" spans="1:11" ht="19" outlineLevel="1" x14ac:dyDescent="0.2">
      <c r="A11" s="42" t="s">
        <v>1</v>
      </c>
      <c r="B11" s="13"/>
      <c r="C11" s="46" t="s">
        <v>2</v>
      </c>
      <c r="D11" s="47" t="s">
        <v>3</v>
      </c>
      <c r="E11" s="49"/>
      <c r="F11" s="49"/>
      <c r="G11" s="49"/>
      <c r="H11" s="49"/>
      <c r="I11" s="49"/>
      <c r="J11" s="49"/>
      <c r="K11" s="48"/>
    </row>
    <row r="12" spans="1:11" outlineLevel="1" x14ac:dyDescent="0.2">
      <c r="A12" s="43"/>
      <c r="B12" s="33" t="s">
        <v>4</v>
      </c>
      <c r="C12" s="45"/>
      <c r="D12" s="47" t="s">
        <v>5</v>
      </c>
      <c r="E12" s="48"/>
      <c r="F12" s="47" t="s">
        <v>6</v>
      </c>
      <c r="G12" s="48"/>
      <c r="H12" s="50" t="s">
        <v>7</v>
      </c>
      <c r="I12" s="48"/>
      <c r="J12" s="47" t="s">
        <v>8</v>
      </c>
      <c r="K12" s="48"/>
    </row>
    <row r="13" spans="1:11" outlineLevel="1" x14ac:dyDescent="0.2">
      <c r="A13" s="44"/>
      <c r="B13" s="25" t="str">
        <f>RUBRICA!A4</f>
        <v xml:space="preserve">1. Propone ajustes al Proyecto APT considerando dificultades, facilitadores y retroalimentación. </v>
      </c>
      <c r="C13" s="23"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5" customHeight="1" outlineLevel="1" x14ac:dyDescent="0.2">
      <c r="A14" s="44"/>
      <c r="B14" s="25" t="str">
        <f>RUBRICA!A5</f>
        <v>2. Aplica una metodología que permite el logro de los objetivos propuestos, de acuerdo a los estándares de la disciplina.</v>
      </c>
      <c r="C14" s="23"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39" outlineLevel="1" x14ac:dyDescent="0.2">
      <c r="A15" s="44"/>
      <c r="B15" s="25" t="str">
        <f>RUBRICA!A6</f>
        <v>3. Genera evidencias que dan cuenta del avance del Proyecto APT en relación a documentación, programación y almacenamiento de datos , de acuerdo a lo planificado por el equipo y que cumpla con estándares de desarrollo de la industria</v>
      </c>
      <c r="C15" s="23" t="s">
        <v>6</v>
      </c>
      <c r="D15" s="14" t="str">
        <f t="shared" si="0"/>
        <v/>
      </c>
      <c r="E15" s="14" t="str">
        <f>IF(D15="X",100*0.25,"")</f>
        <v/>
      </c>
      <c r="F15" s="14" t="str">
        <f t="shared" si="1"/>
        <v>X</v>
      </c>
      <c r="G15" s="14">
        <f>IF(F15="X",60*0.25,"")</f>
        <v>15</v>
      </c>
      <c r="H15" s="14" t="str">
        <f t="shared" si="2"/>
        <v/>
      </c>
      <c r="I15" s="14" t="str">
        <f>IF(H15="X",30*0.25,"")</f>
        <v/>
      </c>
      <c r="J15" s="14" t="str">
        <f t="shared" si="3"/>
        <v/>
      </c>
      <c r="K15" s="14" t="str">
        <f t="shared" si="4"/>
        <v/>
      </c>
    </row>
    <row r="16" spans="1:11" ht="26" outlineLevel="1" x14ac:dyDescent="0.2">
      <c r="A16" s="44"/>
      <c r="B16" s="25" t="str">
        <f>RUBRICA!A7</f>
        <v>4. Utiliza de manera precisa el lenguaje técnico en los entregables de acuerdo con lo requerido por la disciplina.</v>
      </c>
      <c r="C16" s="23"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outlineLevel="1" x14ac:dyDescent="0.2">
      <c r="A17" s="44"/>
      <c r="B17" s="25" t="str">
        <f>RUBRICA!A8</f>
        <v xml:space="preserve">5. Utiliza reglas de redacción, ortografía (literal, puntual, acentual) y las normas para citas y referencias. </v>
      </c>
      <c r="C17" s="23"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6" outlineLevel="1" x14ac:dyDescent="0.2">
      <c r="A18" s="44"/>
      <c r="B18" s="25" t="str">
        <f>RUBRICA!A9</f>
        <v>6. Entrega la documentación y evidencias requerida por la asignatura de acuerdo a la estrucutra y nombres solicitados, guardando todas las evidencias de avances en Git</v>
      </c>
      <c r="C18" s="23"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26" outlineLevel="1" x14ac:dyDescent="0.2">
      <c r="A19" s="44"/>
      <c r="B19" s="25" t="str">
        <f>RUBRICA!A10</f>
        <v>7.- Generan evidencias claras dentro del repositorio  del aporte de cada uno de los integrantes del equipo que permitan identificar la equidad en el trabajo y la participación de cada estudiante.</v>
      </c>
      <c r="C19" s="23" t="s">
        <v>6</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26" outlineLevel="1" x14ac:dyDescent="0.2">
      <c r="A20" s="44"/>
      <c r="B20" s="25" t="str">
        <f>RUBRICA!A11</f>
        <v>8. Demuestra un trabajo en equipo en donde todos los miembros del equipo expresan con fluidez el conocimiento del tema expuesto y  participan de las actividades planificadas en el proyecto</v>
      </c>
      <c r="C20" s="23"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x14ac:dyDescent="0.25">
      <c r="A21" s="43"/>
      <c r="B21" s="24" t="s">
        <v>9</v>
      </c>
      <c r="C21" s="28">
        <f>E21+G21+I21+K21</f>
        <v>84</v>
      </c>
      <c r="D21" s="15"/>
      <c r="E21" s="15">
        <f>SUM(E13:E20)</f>
        <v>60</v>
      </c>
      <c r="F21" s="15"/>
      <c r="G21" s="15">
        <f>SUM(G13:G20)</f>
        <v>24</v>
      </c>
      <c r="H21" s="15"/>
      <c r="I21" s="15">
        <f>SUM(I13:I20)</f>
        <v>0</v>
      </c>
      <c r="J21" s="15"/>
      <c r="K21" s="15">
        <f>SUM(K13:K20)</f>
        <v>0</v>
      </c>
    </row>
    <row r="22" spans="1:11" ht="15.75" customHeight="1" outlineLevel="1" x14ac:dyDescent="0.25">
      <c r="A22" s="45"/>
      <c r="B22" s="27" t="s">
        <v>10</v>
      </c>
      <c r="C22" s="16">
        <f>VLOOKUP(C21,ESCALA_IEP!A2:B202,2,FALSE)</f>
        <v>5.8</v>
      </c>
    </row>
    <row r="23" spans="1:11" ht="15.75" customHeight="1" x14ac:dyDescent="0.2">
      <c r="D23" t="s">
        <v>11</v>
      </c>
    </row>
    <row r="24" spans="1:11" ht="48" customHeight="1" x14ac:dyDescent="0.2">
      <c r="B24" s="31"/>
    </row>
    <row r="25" spans="1:11" ht="15.75" customHeight="1" x14ac:dyDescent="0.25">
      <c r="B25" s="38" t="s">
        <v>66</v>
      </c>
      <c r="C25" s="17"/>
    </row>
    <row r="26" spans="1:11" ht="18" customHeight="1" x14ac:dyDescent="0.2">
      <c r="B26" s="39" t="s">
        <v>69</v>
      </c>
    </row>
    <row r="27" spans="1:11" ht="15.75" customHeight="1" x14ac:dyDescent="0.2">
      <c r="B27" s="39" t="s">
        <v>70</v>
      </c>
    </row>
    <row r="28" spans="1:11" ht="15.75" customHeight="1" x14ac:dyDescent="0.2">
      <c r="B28" s="40" t="s">
        <v>67</v>
      </c>
    </row>
    <row r="29" spans="1:11" ht="15.75" customHeight="1" x14ac:dyDescent="0.2">
      <c r="B29" s="39" t="s">
        <v>71</v>
      </c>
    </row>
    <row r="30" spans="1:11" ht="15.75" customHeight="1" x14ac:dyDescent="0.2">
      <c r="B30" s="39" t="s">
        <v>72</v>
      </c>
    </row>
    <row r="31" spans="1:11" ht="15.75" customHeight="1" x14ac:dyDescent="0.2">
      <c r="B31" s="39" t="s">
        <v>73</v>
      </c>
    </row>
    <row r="32" spans="1:11" ht="15.75" customHeight="1" x14ac:dyDescent="0.2"/>
    <row r="33" spans="2:2" ht="15.75" customHeight="1" x14ac:dyDescent="0.2">
      <c r="B33" s="41" t="s">
        <v>74</v>
      </c>
    </row>
    <row r="34" spans="2:2" ht="15.75" customHeight="1" x14ac:dyDescent="0.2">
      <c r="B34" s="40" t="s">
        <v>68</v>
      </c>
    </row>
    <row r="35" spans="2:2" ht="15.75" customHeight="1" x14ac:dyDescent="0.2"/>
    <row r="36" spans="2:2" ht="15.75" customHeight="1" x14ac:dyDescent="0.2"/>
    <row r="37" spans="2:2" ht="15.75" customHeight="1" x14ac:dyDescent="0.2">
      <c r="B37" s="38" t="s">
        <v>75</v>
      </c>
    </row>
    <row r="38" spans="2:2" ht="15.75" customHeight="1" x14ac:dyDescent="0.2">
      <c r="B38" s="39" t="s">
        <v>76</v>
      </c>
    </row>
    <row r="39" spans="2:2" ht="15.75" customHeight="1" x14ac:dyDescent="0.2">
      <c r="B39" s="39" t="s">
        <v>77</v>
      </c>
    </row>
    <row r="40" spans="2:2" ht="15.75" customHeight="1" x14ac:dyDescent="0.2">
      <c r="B40" s="39" t="s">
        <v>78</v>
      </c>
    </row>
    <row r="41" spans="2:2" ht="15.75" customHeight="1" x14ac:dyDescent="0.2"/>
    <row r="42" spans="2:2" ht="15.75" customHeight="1" x14ac:dyDescent="0.2"/>
    <row r="43" spans="2:2" ht="15.75" customHeight="1" x14ac:dyDescent="0.2"/>
    <row r="44" spans="2:2" ht="15.75" customHeight="1" x14ac:dyDescent="0.2"/>
    <row r="45" spans="2:2" ht="15.75" customHeight="1" x14ac:dyDescent="0.2"/>
    <row r="46" spans="2:2" ht="15.75" customHeight="1" x14ac:dyDescent="0.2"/>
    <row r="47" spans="2:2" ht="15.75" customHeight="1" x14ac:dyDescent="0.2"/>
    <row r="48" spans="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C11" sqref="C11"/>
    </sheetView>
  </sheetViews>
  <sheetFormatPr baseColWidth="10" defaultColWidth="11.5" defaultRowHeight="15" x14ac:dyDescent="0.2"/>
  <cols>
    <col min="1" max="6" width="38.6640625" customWidth="1"/>
  </cols>
  <sheetData>
    <row r="1" spans="1:6" ht="16" thickBot="1" x14ac:dyDescent="0.25">
      <c r="A1" s="51" t="s">
        <v>12</v>
      </c>
      <c r="B1" s="53" t="s">
        <v>13</v>
      </c>
      <c r="C1" s="54"/>
      <c r="D1" s="54"/>
      <c r="E1" s="55"/>
      <c r="F1" s="51" t="s">
        <v>14</v>
      </c>
    </row>
    <row r="2" spans="1:6" ht="16" x14ac:dyDescent="0.2">
      <c r="A2" s="52"/>
      <c r="B2" s="57" t="s">
        <v>15</v>
      </c>
      <c r="C2" s="57" t="s">
        <v>16</v>
      </c>
      <c r="D2" s="18" t="s">
        <v>17</v>
      </c>
      <c r="E2" s="19" t="s">
        <v>8</v>
      </c>
      <c r="F2" s="52"/>
    </row>
    <row r="3" spans="1:6" ht="16" thickBot="1" x14ac:dyDescent="0.25">
      <c r="A3" s="52"/>
      <c r="B3" s="58"/>
      <c r="C3" s="58"/>
      <c r="D3" s="34">
        <v>-0.3</v>
      </c>
      <c r="E3" s="34">
        <v>0</v>
      </c>
      <c r="F3" s="56"/>
    </row>
    <row r="4" spans="1:6" ht="46" thickBot="1" x14ac:dyDescent="0.25">
      <c r="A4" s="21" t="s">
        <v>18</v>
      </c>
      <c r="B4" s="21" t="s">
        <v>19</v>
      </c>
      <c r="C4" s="21" t="s">
        <v>20</v>
      </c>
      <c r="D4" s="21" t="s">
        <v>21</v>
      </c>
      <c r="E4" s="21" t="s">
        <v>22</v>
      </c>
      <c r="F4" s="20">
        <v>10</v>
      </c>
    </row>
    <row r="5" spans="1:6" ht="61" thickBot="1" x14ac:dyDescent="0.25">
      <c r="A5" s="21" t="s">
        <v>23</v>
      </c>
      <c r="B5" s="21" t="s">
        <v>24</v>
      </c>
      <c r="C5" s="21" t="s">
        <v>25</v>
      </c>
      <c r="D5" s="21" t="s">
        <v>26</v>
      </c>
      <c r="E5" s="21" t="s">
        <v>27</v>
      </c>
      <c r="F5" s="20">
        <v>10</v>
      </c>
    </row>
    <row r="6" spans="1:6" ht="91" thickBot="1" x14ac:dyDescent="0.25">
      <c r="A6" s="21" t="s">
        <v>28</v>
      </c>
      <c r="B6" s="21" t="s">
        <v>29</v>
      </c>
      <c r="C6" s="21" t="s">
        <v>30</v>
      </c>
      <c r="D6" s="21" t="s">
        <v>31</v>
      </c>
      <c r="E6" s="21" t="s">
        <v>32</v>
      </c>
      <c r="F6" s="20">
        <v>25</v>
      </c>
    </row>
    <row r="7" spans="1:6" ht="46" thickBot="1" x14ac:dyDescent="0.25">
      <c r="A7" s="21" t="s">
        <v>33</v>
      </c>
      <c r="B7" s="21" t="s">
        <v>34</v>
      </c>
      <c r="C7" s="21" t="s">
        <v>35</v>
      </c>
      <c r="D7" s="21" t="s">
        <v>36</v>
      </c>
      <c r="E7" s="21" t="s">
        <v>37</v>
      </c>
      <c r="F7" s="20">
        <v>5</v>
      </c>
    </row>
    <row r="8" spans="1:6" ht="45" x14ac:dyDescent="0.2">
      <c r="A8" s="21" t="s">
        <v>38</v>
      </c>
      <c r="B8" s="21" t="s">
        <v>39</v>
      </c>
      <c r="C8" s="21" t="s">
        <v>40</v>
      </c>
      <c r="D8" s="21" t="s">
        <v>41</v>
      </c>
      <c r="E8" s="21" t="s">
        <v>42</v>
      </c>
      <c r="F8" s="35">
        <v>5</v>
      </c>
    </row>
    <row r="9" spans="1:6" ht="61" thickBot="1" x14ac:dyDescent="0.25">
      <c r="A9" s="21" t="s">
        <v>43</v>
      </c>
      <c r="B9" s="21" t="s">
        <v>44</v>
      </c>
      <c r="C9" s="21" t="s">
        <v>45</v>
      </c>
      <c r="D9" s="21" t="s">
        <v>46</v>
      </c>
      <c r="E9" s="21" t="s">
        <v>47</v>
      </c>
      <c r="F9" s="20">
        <v>20</v>
      </c>
    </row>
    <row r="10" spans="1:6" ht="61" thickBot="1" x14ac:dyDescent="0.25">
      <c r="A10" s="36" t="s">
        <v>48</v>
      </c>
      <c r="B10" s="36" t="s">
        <v>49</v>
      </c>
      <c r="C10" s="36" t="s">
        <v>50</v>
      </c>
      <c r="D10" s="36" t="s">
        <v>51</v>
      </c>
      <c r="E10" s="36" t="s">
        <v>52</v>
      </c>
      <c r="F10" s="29">
        <v>15</v>
      </c>
    </row>
    <row r="11" spans="1:6" ht="81.5" customHeight="1" x14ac:dyDescent="0.2">
      <c r="A11" s="21" t="s">
        <v>53</v>
      </c>
      <c r="B11" s="21" t="s">
        <v>54</v>
      </c>
      <c r="C11" s="21" t="s">
        <v>55</v>
      </c>
      <c r="D11" s="21" t="s">
        <v>56</v>
      </c>
      <c r="E11" s="21" t="s">
        <v>57</v>
      </c>
      <c r="F11" s="32">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9</v>
      </c>
      <c r="B1" t="s">
        <v>10</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58</v>
      </c>
      <c r="B1" t="s">
        <v>59</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9</v>
      </c>
      <c r="B1" t="s">
        <v>10</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9" t="s">
        <v>60</v>
      </c>
      <c r="B1" s="6" t="s">
        <v>9</v>
      </c>
      <c r="C1" s="7"/>
      <c r="D1" s="7"/>
      <c r="E1" s="8"/>
    </row>
    <row r="2" spans="1:5" ht="49" thickBot="1" x14ac:dyDescent="0.25">
      <c r="A2" s="60"/>
      <c r="B2" s="9" t="s">
        <v>5</v>
      </c>
      <c r="C2" s="10" t="s">
        <v>6</v>
      </c>
      <c r="D2" s="26" t="s">
        <v>61</v>
      </c>
      <c r="E2" s="37" t="s">
        <v>8</v>
      </c>
    </row>
    <row r="3" spans="1:5" ht="33" thickBot="1" x14ac:dyDescent="0.25">
      <c r="A3" s="11" t="s">
        <v>62</v>
      </c>
      <c r="B3" s="12">
        <v>4</v>
      </c>
      <c r="C3" s="12">
        <v>3</v>
      </c>
      <c r="D3" s="12">
        <v>2</v>
      </c>
      <c r="E3" s="12">
        <v>0</v>
      </c>
    </row>
    <row r="4" spans="1:5" ht="16" thickBot="1" x14ac:dyDescent="0.25">
      <c r="A4" s="11"/>
      <c r="B4" s="12"/>
      <c r="C4" s="12"/>
      <c r="D4" s="12"/>
      <c r="E4" s="12"/>
    </row>
    <row r="5" spans="1:5" ht="16" thickBot="1" x14ac:dyDescent="0.25">
      <c r="A5" s="11"/>
      <c r="B5" s="12"/>
      <c r="C5" s="12"/>
      <c r="D5" s="12"/>
      <c r="E5" s="1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2026-05-22T20:15:19Z</dcterms:modified>
  <cp:category/>
  <cp:contentStatus/>
</cp:coreProperties>
</file>